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s List" sheetId="1" state="visible" r:id="rId3"/>
    <sheet name="Change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<sst xmlns="http://schemas.openxmlformats.org/spreadsheetml/2006/main" count="192" uniqueCount="115">
  <si>
    <t xml:space="preserve">Category</t>
  </si>
  <si>
    <t xml:space="preserve">Item</t>
  </si>
  <si>
    <t xml:space="preserve">Spec / Notes</t>
  </si>
  <si>
    <t xml:space="preserve">Qty</t>
  </si>
  <si>
    <t xml:space="preserve">Est. Unit Price ($)</t>
  </si>
  <si>
    <t xml:space="preserve">Line Total ($)</t>
  </si>
  <si>
    <t xml:space="preserve">Status</t>
  </si>
  <si>
    <t xml:space="preserve">Source / Assumption</t>
  </si>
  <si>
    <t xml:space="preserve">Compute &amp; AI</t>
  </si>
  <si>
    <t xml:space="preserve">Raspberry Pi 5 (8GB)</t>
  </si>
  <si>
    <t xml:space="preserve">Main compute: runs locomotion policy (MLP on CPU via ONNX Runtime), navigation, orchestration</t>
  </si>
  <si>
    <t xml:space="preserve">Kept</t>
  </si>
  <si>
    <t xml:space="preserve">RS Components / retail listings, Jul 2026 — Pi 5 8GB prices elevated ~2-3x launch due to 2026 DRAM/LPDDR4 shortage</t>
  </si>
  <si>
    <t xml:space="preserve">Raspberry Pi AI HAT+ (26 TOPS, Hailo-8)</t>
  </si>
  <si>
    <t xml:space="preserve">Perception accelerator for camera models; replaces Coral USB. Uses the Pi's PCIe slot, so boot from microSD/USB SSD, not NVMe</t>
  </si>
  <si>
    <t xml:space="preserve">NEW</t>
  </si>
  <si>
    <t xml:space="preserve">SparkFun DEV-27249 listing, 2026 ($132; launch MSRP $110, some resellers $150+)</t>
  </si>
  <si>
    <t xml:space="preserve">MicroSD card, 64GB A2/U3</t>
  </si>
  <si>
    <t xml:space="preserve">OS + model storage (boot device, since PCIe is taken by the AI HAT+)</t>
  </si>
  <si>
    <t xml:space="preserve">Typical retail estimate</t>
  </si>
  <si>
    <t xml:space="preserve">Pi Camera Module 3</t>
  </si>
  <si>
    <t xml:space="preserve">Vision input via CSI; native support in the AI HAT+ camera stack</t>
  </si>
  <si>
    <t xml:space="preserve">Official Pi 5 Active Cooler</t>
  </si>
  <si>
    <t xml:space="preserve">Required under sustained load; AI HAT+ stacks over it with the included 16mm header</t>
  </si>
  <si>
    <t xml:space="preserve">USB-C PD power supply, 27W (official Pi 5 PSU)</t>
  </si>
  <si>
    <t xml:space="preserve">Bench power for the Pi during development (robot runs on the 5V buck)</t>
  </si>
  <si>
    <t xml:space="preserve">Real-Time Control</t>
  </si>
  <si>
    <t xml:space="preserve">Teensy 4.1 microcontroller</t>
  </si>
  <si>
    <t xml:space="preserve">Real-time layer: fixed-rate servo bus + IMU loop (100-200 Hz), watchdog / safe-crouch, USB serial link to Pi</t>
  </si>
  <si>
    <t xml:space="preserve">Typical retail estimate (PJRC list price ~$32)</t>
  </si>
  <si>
    <t xml:space="preserve">Bus servo adapter board (TTL half-duplex, e.g. Waveshare)</t>
  </si>
  <si>
    <t xml:space="preserve">One per servo chain (3 chains of 2 legs); MCU UART to half-duplex servo bus. Also used over USB on the bench to set servo IDs</t>
  </si>
  <si>
    <t xml:space="preserve">Actuation</t>
  </si>
  <si>
    <t xml:space="preserve">Feetech STS3215 smart servo, 12V 30kg-cm (C018)</t>
  </si>
  <si>
    <t xml:space="preserve">3 DOF/leg x 6 legs = 18. Serial bus with position/speed/load/voltage/temp feedback for RL observations. Runs directly off 3S</t>
  </si>
  <si>
    <t xml:space="preserve">Retail listings 2026: ~$15-29 from Feetech resellers, up to ~$49 at RobotShop (US, incl. tariffs). $30 used as planning midpoint</t>
  </si>
  <si>
    <t xml:space="preserve">Aluminum servo horns, 25T spline</t>
  </si>
  <si>
    <t xml:space="preserve">Stronger than stock POM horns under walking loads; must match STS3215 25T spline</t>
  </si>
  <si>
    <t xml:space="preserve">Changed</t>
  </si>
  <si>
    <t xml:space="preserve">Typical retail estimate — spline changed from DS3218 to 25T</t>
  </si>
  <si>
    <t xml:space="preserve">Power</t>
  </si>
  <si>
    <t xml:space="preserve">3S LiPo battery, 6000mAh</t>
  </si>
  <si>
    <t xml:space="preserve">Direct feed to 12V servo rail + 5V buck for Pi. Upsized from 5000mAh for 18 servos at 12V</t>
  </si>
  <si>
    <t xml:space="preserve">LiPo balance charger</t>
  </si>
  <si>
    <t xml:space="preserve">Safe charging/balancing for the 3S pack</t>
  </si>
  <si>
    <t xml:space="preserve">Buck converter, 5V 5A</t>
  </si>
  <si>
    <t xml:space="preserve">Isolated clean rail for Pi 5 + AI HAT+ + Teensy</t>
  </si>
  <si>
    <t xml:space="preserve">Main fuse (40A) + inline holder</t>
  </si>
  <si>
    <t xml:space="preserve">Protects the pack and harness from a shorted servo chain</t>
  </si>
  <si>
    <t xml:space="preserve">Emergency-stop / kill switch, high-current</t>
  </si>
  <si>
    <t xml:space="preserve">Physical cut of the servo rail; reachable on top of the body</t>
  </si>
  <si>
    <t xml:space="preserve">INA226 current/voltage monitor</t>
  </si>
  <si>
    <t xml:space="preserve">Logs pack voltage for sim domain randomization; low-voltage cutoff trigger</t>
  </si>
  <si>
    <t xml:space="preserve">XT60 connectors, main wiring (12AWG)</t>
  </si>
  <si>
    <t xml:space="preserve">Battery connectors + main power harness</t>
  </si>
  <si>
    <t xml:space="preserve">Low-ESR capacitors, 2200uF (servo rail smoothing)</t>
  </si>
  <si>
    <t xml:space="preserve">One per chain + main; damps sag when legs load at once</t>
  </si>
  <si>
    <t xml:space="preserve">Sensors</t>
  </si>
  <si>
    <t xml:space="preserve">IMU, BNO085 9-DOF breakout</t>
  </si>
  <si>
    <t xml:space="preserve">Body orientation + angular velocity for the policy's observation vector; wired to Teensy. Replaces BNO055 (better fusion, faster reports)</t>
  </si>
  <si>
    <t xml:space="preserve">Time-of-flight distance sensor (VL53L0X)</t>
  </si>
  <si>
    <t xml:space="preserve">Front + side cliff/step detection; provisional count</t>
  </si>
  <si>
    <t xml:space="preserve">Typical retail estimate — revisit once chassis/leg layout is finalized</t>
  </si>
  <si>
    <t xml:space="preserve">2D LIDAR (RPLIDAR A1)</t>
  </si>
  <si>
    <t xml:space="preserve">360-degree mapping/SLAM; USB to Pi. Provisional</t>
  </si>
  <si>
    <t xml:space="preserve">Waveshare/Slamtec listings, 2026 (~$100-110) — placeholder until SLAM vs reactive-only is decided</t>
  </si>
  <si>
    <t xml:space="preserve">Chassis &amp; Mechanical</t>
  </si>
  <si>
    <t xml:space="preserve">Hexapod frame, 12-20in (fabricated or kit)</t>
  </si>
  <si>
    <t xml:space="preserve">Body + 6 legs sized for STS3215 (45 x 25 x 35 mm, 55 g each)</t>
  </si>
  <si>
    <t xml:space="preserve">Placeholder — replace once kit vs custom-fabricated frame is decided</t>
  </si>
  <si>
    <t xml:space="preserve">Leg linkage hardware (bearings, standoffs, screws)</t>
  </si>
  <si>
    <t xml:space="preserve">Smooths joint motion, reduces slop</t>
  </si>
  <si>
    <t xml:space="preserve">Wiring &amp; Misc</t>
  </si>
  <si>
    <t xml:space="preserve">Spare bus servo daisy-chain cables (3-pin)</t>
  </si>
  <si>
    <t xml:space="preserve">Servos ship with one cable each; spares for chain runs to the body</t>
  </si>
  <si>
    <t xml:space="preserve">Typical retail estimate — replaces 18 PWM extension cables</t>
  </si>
  <si>
    <t xml:space="preserve">Connectors, heat shrink, 22-26AWG silicone wire</t>
  </si>
  <si>
    <t xml:space="preserve">General wiring harness</t>
  </si>
  <si>
    <t xml:space="preserve">Perfboard / small custom PCB</t>
  </si>
  <si>
    <t xml:space="preserve">Power distribution + Teensy carrier board</t>
  </si>
  <si>
    <t xml:space="preserve">Mounting standoffs/spacers</t>
  </si>
  <si>
    <t xml:space="preserve">Mounts Pi, Teensy, adapters, battery to chassis</t>
  </si>
  <si>
    <t xml:space="preserve">GRAND TOTAL (estimate)</t>
  </si>
  <si>
    <t xml:space="preserve">Subtotals by Category</t>
  </si>
  <si>
    <t xml:space="preserve">Subtotal ($)</t>
  </si>
  <si>
    <t xml:space="preserve">Check: subtotals minus grand total (should be 0)</t>
  </si>
  <si>
    <t xml:space="preserve">Notes:</t>
  </si>
  <si>
    <t xml:space="preserve">- Blue cells are editable inputs (Qty, Est. Unit Price); line totals, subtotals and the grand total recalculate automatically.</t>
  </si>
  <si>
    <t xml:space="preserve">- Green Status cells mark items that are NEW or Changed in the Sept 2026 architecture revision; see the Change Log tab for what was removed and why.</t>
  </si>
  <si>
    <t xml:space="preserve">- Items marked 'Typical retail estimate' were not pulled from a live listing; treat them as planning placeholders, not quotes.</t>
  </si>
  <si>
    <t xml:space="preserve">- Servo pricing varies widely by reseller ($15-49 each); with 18 units this is the biggest swing in the total, so shop it carefully.</t>
  </si>
  <si>
    <t xml:space="preserve">- STS3215 torque (30 kg-cm stall) is sized for a 12-20in hexapod; verify against femur length once leg CAD is done. Upgrade femur joints only if tight.</t>
  </si>
  <si>
    <t xml:space="preserve">- LIDAR, ToF count, and chassis cost remain provisional pending chassis/leg layout.</t>
  </si>
  <si>
    <t xml:space="preserve">Change</t>
  </si>
  <si>
    <t xml:space="preserve">Reason</t>
  </si>
  <si>
    <t xml:space="preserve">Removed</t>
  </si>
  <si>
    <t xml:space="preserve">Google Coral USB Accelerator ($65)</t>
  </si>
  <si>
    <t xml:space="preserve">Google has largely stopped maintaining Coral; pycoral needs Python 3.9 vs Pi OS Bookworm's 3.11. Replaced by AI HAT+ (26 TOPS vs 4 TOPS).</t>
  </si>
  <si>
    <t xml:space="preserve">PCA9685 PWM driver x2 ($16)</t>
  </si>
  <si>
    <t xml:space="preserve">Not needed with serial bus servos.</t>
  </si>
  <si>
    <t xml:space="preserve">DS3218MG PWM servo x18 ($324)</t>
  </si>
  <si>
    <t xml:space="preserve">Open-loop, no joint feedback. RL policy needs position/velocity observations.</t>
  </si>
  <si>
    <t xml:space="preserve">6V 20A UBEC servo rail ($15)</t>
  </si>
  <si>
    <t xml:space="preserve">STS3215 12V servos run directly off the 3S pack.</t>
  </si>
  <si>
    <t xml:space="preserve">PWM servo extension cables x18 ($27)</t>
  </si>
  <si>
    <t xml:space="preserve">Replaced by bus daisy-chain cables.</t>
  </si>
  <si>
    <t xml:space="preserve">Added</t>
  </si>
  <si>
    <t xml:space="preserve">Teensy 4.1 + 3 bus servo adapters</t>
  </si>
  <si>
    <t xml:space="preserve">Deterministic real-time loop for sim-to-real timing parity; watchdog safe-stop if the Pi hangs.</t>
  </si>
  <si>
    <t xml:space="preserve">Main fuse, e-stop, INA226 monitor</t>
  </si>
  <si>
    <t xml:space="preserve">Safety on a high-current 12V rail; battery voltage logging feeds sim domain randomization.</t>
  </si>
  <si>
    <t xml:space="preserve">IMU BNO055 -&gt; BNO085</t>
  </si>
  <si>
    <t xml:space="preserve">Better sensor fusion and faster report rates for the policy observation vector.</t>
  </si>
  <si>
    <t xml:space="preserve">LiPo 5000 -&gt; 6000mAh</t>
  </si>
  <si>
    <t xml:space="preserve">More runtime headroom for 18 servos at 12V.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</si>
</sst>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8"/>
    <col collapsed="false" customWidth="true" hidden="false" outlineLevel="0" max="3" min="3" style="0" width="52"/>
    <col collapsed="false" customWidth="true" hidden="false" outlineLevel="0" max="4" min="4" style="0" width="6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4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6.85" hidden="false" customHeight="false" outlineLevel="0" collapsed="false">
      <c r="A2" s="2" t="s">
        <v>8</v>
      </c>
      <c r="B2" s="3" t="s">
        <v>9</v>
      </c>
      <c r="C2" s="3" t="s">
        <v>10</v>
      </c>
      <c r="D2" s="4" t="n">
        <v>1</v>
      </c>
      <c r="E2" s="5" t="n">
        <v>175</v>
      </c>
      <c r="F2" s="6" t="n">
        <f aca="false">D2*E2</f>
        <v>175</v>
      </c>
      <c r="G2" s="2" t="s">
        <v>11</v>
      </c>
      <c r="H2" s="7" t="s">
        <v>12</v>
      </c>
    </row>
    <row r="3" customFormat="false" ht="39.55" hidden="false" customHeight="false" outlineLevel="0" collapsed="false">
      <c r="A3" s="2" t="s">
        <v>8</v>
      </c>
      <c r="B3" s="3" t="s">
        <v>13</v>
      </c>
      <c r="C3" s="3" t="s">
        <v>14</v>
      </c>
      <c r="D3" s="4" t="n">
        <v>1</v>
      </c>
      <c r="E3" s="5" t="n">
        <v>132</v>
      </c>
      <c r="F3" s="6" t="n">
        <f aca="false">D3*E3</f>
        <v>132</v>
      </c>
      <c r="G3" s="8" t="s">
        <v>15</v>
      </c>
      <c r="H3" s="7" t="s">
        <v>16</v>
      </c>
    </row>
    <row r="4" customFormat="false" ht="26.85" hidden="false" customHeight="false" outlineLevel="0" collapsed="false">
      <c r="A4" s="2" t="s">
        <v>8</v>
      </c>
      <c r="B4" s="3" t="s">
        <v>17</v>
      </c>
      <c r="C4" s="3" t="s">
        <v>18</v>
      </c>
      <c r="D4" s="4" t="n">
        <v>1</v>
      </c>
      <c r="E4" s="5" t="n">
        <v>12</v>
      </c>
      <c r="F4" s="6" t="n">
        <f aca="false">D4*E4</f>
        <v>12</v>
      </c>
      <c r="G4" s="2" t="s">
        <v>11</v>
      </c>
      <c r="H4" s="7" t="s">
        <v>19</v>
      </c>
    </row>
    <row r="5" customFormat="false" ht="26.85" hidden="false" customHeight="false" outlineLevel="0" collapsed="false">
      <c r="A5" s="2" t="s">
        <v>8</v>
      </c>
      <c r="B5" s="3" t="s">
        <v>20</v>
      </c>
      <c r="C5" s="3" t="s">
        <v>21</v>
      </c>
      <c r="D5" s="4" t="n">
        <v>1</v>
      </c>
      <c r="E5" s="5" t="n">
        <v>25</v>
      </c>
      <c r="F5" s="6" t="n">
        <f aca="false">D5*E5</f>
        <v>25</v>
      </c>
      <c r="G5" s="2" t="s">
        <v>11</v>
      </c>
      <c r="H5" s="7" t="s">
        <v>19</v>
      </c>
    </row>
    <row r="6" customFormat="false" ht="26.85" hidden="false" customHeight="false" outlineLevel="0" collapsed="false">
      <c r="A6" s="2" t="s">
        <v>8</v>
      </c>
      <c r="B6" s="3" t="s">
        <v>22</v>
      </c>
      <c r="C6" s="3" t="s">
        <v>23</v>
      </c>
      <c r="D6" s="4" t="n">
        <v>1</v>
      </c>
      <c r="E6" s="5" t="n">
        <v>5</v>
      </c>
      <c r="F6" s="6" t="n">
        <f aca="false">D6*E6</f>
        <v>5</v>
      </c>
      <c r="G6" s="2" t="s">
        <v>11</v>
      </c>
      <c r="H6" s="7" t="s">
        <v>19</v>
      </c>
    </row>
    <row r="7" customFormat="false" ht="26.85" hidden="false" customHeight="false" outlineLevel="0" collapsed="false">
      <c r="A7" s="2" t="s">
        <v>8</v>
      </c>
      <c r="B7" s="3" t="s">
        <v>24</v>
      </c>
      <c r="C7" s="3" t="s">
        <v>25</v>
      </c>
      <c r="D7" s="4" t="n">
        <v>1</v>
      </c>
      <c r="E7" s="5" t="n">
        <v>12</v>
      </c>
      <c r="F7" s="6" t="n">
        <f aca="false">D7*E7</f>
        <v>12</v>
      </c>
      <c r="G7" s="2" t="s">
        <v>11</v>
      </c>
      <c r="H7" s="7" t="s">
        <v>19</v>
      </c>
    </row>
    <row r="8" customFormat="false" ht="26.85" hidden="false" customHeight="false" outlineLevel="0" collapsed="false">
      <c r="A8" s="2" t="s">
        <v>26</v>
      </c>
      <c r="B8" s="3" t="s">
        <v>27</v>
      </c>
      <c r="C8" s="3" t="s">
        <v>28</v>
      </c>
      <c r="D8" s="4" t="n">
        <v>1</v>
      </c>
      <c r="E8" s="5" t="n">
        <v>32</v>
      </c>
      <c r="F8" s="6" t="n">
        <f aca="false">D8*E8</f>
        <v>32</v>
      </c>
      <c r="G8" s="8" t="s">
        <v>15</v>
      </c>
      <c r="H8" s="7" t="s">
        <v>29</v>
      </c>
    </row>
    <row r="9" customFormat="false" ht="39.55" hidden="false" customHeight="false" outlineLevel="0" collapsed="false">
      <c r="A9" s="2" t="s">
        <v>26</v>
      </c>
      <c r="B9" s="3" t="s">
        <v>30</v>
      </c>
      <c r="C9" s="3" t="s">
        <v>31</v>
      </c>
      <c r="D9" s="4" t="n">
        <v>3</v>
      </c>
      <c r="E9" s="5" t="n">
        <v>10</v>
      </c>
      <c r="F9" s="6" t="n">
        <f aca="false">D9*E9</f>
        <v>30</v>
      </c>
      <c r="G9" s="8" t="s">
        <v>15</v>
      </c>
      <c r="H9" s="7" t="s">
        <v>19</v>
      </c>
    </row>
    <row r="10" customFormat="false" ht="39.55" hidden="false" customHeight="false" outlineLevel="0" collapsed="false">
      <c r="A10" s="2" t="s">
        <v>32</v>
      </c>
      <c r="B10" s="3" t="s">
        <v>33</v>
      </c>
      <c r="C10" s="3" t="s">
        <v>34</v>
      </c>
      <c r="D10" s="4" t="n">
        <v>18</v>
      </c>
      <c r="E10" s="5" t="n">
        <v>30</v>
      </c>
      <c r="F10" s="6" t="n">
        <f aca="false">D10*E10</f>
        <v>540</v>
      </c>
      <c r="G10" s="8" t="s">
        <v>15</v>
      </c>
      <c r="H10" s="7" t="s">
        <v>35</v>
      </c>
    </row>
    <row r="11" customFormat="false" ht="26.85" hidden="false" customHeight="false" outlineLevel="0" collapsed="false">
      <c r="A11" s="2" t="s">
        <v>32</v>
      </c>
      <c r="B11" s="3" t="s">
        <v>36</v>
      </c>
      <c r="C11" s="3" t="s">
        <v>37</v>
      </c>
      <c r="D11" s="4" t="n">
        <v>18</v>
      </c>
      <c r="E11" s="5" t="n">
        <v>3</v>
      </c>
      <c r="F11" s="6" t="n">
        <f aca="false">D11*E11</f>
        <v>54</v>
      </c>
      <c r="G11" s="8" t="s">
        <v>38</v>
      </c>
      <c r="H11" s="7" t="s">
        <v>39</v>
      </c>
    </row>
    <row r="12" customFormat="false" ht="26.85" hidden="false" customHeight="false" outlineLevel="0" collapsed="false">
      <c r="A12" s="2" t="s">
        <v>40</v>
      </c>
      <c r="B12" s="3" t="s">
        <v>41</v>
      </c>
      <c r="C12" s="3" t="s">
        <v>42</v>
      </c>
      <c r="D12" s="4" t="n">
        <v>1</v>
      </c>
      <c r="E12" s="5" t="n">
        <v>55</v>
      </c>
      <c r="F12" s="6" t="n">
        <f aca="false">D12*E12</f>
        <v>55</v>
      </c>
      <c r="G12" s="8" t="s">
        <v>38</v>
      </c>
      <c r="H12" s="7" t="s">
        <v>19</v>
      </c>
    </row>
    <row r="13" customFormat="false" ht="15" hidden="false" customHeight="false" outlineLevel="0" collapsed="false">
      <c r="A13" s="2" t="s">
        <v>40</v>
      </c>
      <c r="B13" s="3" t="s">
        <v>43</v>
      </c>
      <c r="C13" s="3" t="s">
        <v>44</v>
      </c>
      <c r="D13" s="4" t="n">
        <v>1</v>
      </c>
      <c r="E13" s="5" t="n">
        <v>25</v>
      </c>
      <c r="F13" s="6" t="n">
        <f aca="false">D13*E13</f>
        <v>25</v>
      </c>
      <c r="G13" s="2" t="s">
        <v>11</v>
      </c>
      <c r="H13" s="7" t="s">
        <v>19</v>
      </c>
    </row>
    <row r="14" customFormat="false" ht="15" hidden="false" customHeight="false" outlineLevel="0" collapsed="false">
      <c r="A14" s="2" t="s">
        <v>40</v>
      </c>
      <c r="B14" s="3" t="s">
        <v>45</v>
      </c>
      <c r="C14" s="3" t="s">
        <v>46</v>
      </c>
      <c r="D14" s="4" t="n">
        <v>1</v>
      </c>
      <c r="E14" s="5" t="n">
        <v>10</v>
      </c>
      <c r="F14" s="6" t="n">
        <f aca="false">D14*E14</f>
        <v>10</v>
      </c>
      <c r="G14" s="2" t="s">
        <v>11</v>
      </c>
      <c r="H14" s="7" t="s">
        <v>19</v>
      </c>
    </row>
    <row r="15" customFormat="false" ht="26.85" hidden="false" customHeight="false" outlineLevel="0" collapsed="false">
      <c r="A15" s="2" t="s">
        <v>40</v>
      </c>
      <c r="B15" s="3" t="s">
        <v>47</v>
      </c>
      <c r="C15" s="3" t="s">
        <v>48</v>
      </c>
      <c r="D15" s="4" t="n">
        <v>1</v>
      </c>
      <c r="E15" s="5" t="n">
        <v>10</v>
      </c>
      <c r="F15" s="6" t="n">
        <f aca="false">D15*E15</f>
        <v>10</v>
      </c>
      <c r="G15" s="8" t="s">
        <v>15</v>
      </c>
      <c r="H15" s="7" t="s">
        <v>19</v>
      </c>
    </row>
    <row r="16" customFormat="false" ht="26.85" hidden="false" customHeight="false" outlineLevel="0" collapsed="false">
      <c r="A16" s="2" t="s">
        <v>40</v>
      </c>
      <c r="B16" s="3" t="s">
        <v>49</v>
      </c>
      <c r="C16" s="3" t="s">
        <v>50</v>
      </c>
      <c r="D16" s="4" t="n">
        <v>1</v>
      </c>
      <c r="E16" s="5" t="n">
        <v>15</v>
      </c>
      <c r="F16" s="6" t="n">
        <f aca="false">D16*E16</f>
        <v>15</v>
      </c>
      <c r="G16" s="8" t="s">
        <v>15</v>
      </c>
      <c r="H16" s="7" t="s">
        <v>19</v>
      </c>
    </row>
    <row r="17" customFormat="false" ht="26.85" hidden="false" customHeight="false" outlineLevel="0" collapsed="false">
      <c r="A17" s="2" t="s">
        <v>40</v>
      </c>
      <c r="B17" s="3" t="s">
        <v>51</v>
      </c>
      <c r="C17" s="3" t="s">
        <v>52</v>
      </c>
      <c r="D17" s="4" t="n">
        <v>1</v>
      </c>
      <c r="E17" s="5" t="n">
        <v>8</v>
      </c>
      <c r="F17" s="6" t="n">
        <f aca="false">D17*E17</f>
        <v>8</v>
      </c>
      <c r="G17" s="8" t="s">
        <v>15</v>
      </c>
      <c r="H17" s="7" t="s">
        <v>19</v>
      </c>
    </row>
    <row r="18" customFormat="false" ht="15" hidden="false" customHeight="false" outlineLevel="0" collapsed="false">
      <c r="A18" s="2" t="s">
        <v>40</v>
      </c>
      <c r="B18" s="3" t="s">
        <v>53</v>
      </c>
      <c r="C18" s="3" t="s">
        <v>54</v>
      </c>
      <c r="D18" s="4" t="n">
        <v>1</v>
      </c>
      <c r="E18" s="5" t="n">
        <v>10</v>
      </c>
      <c r="F18" s="6" t="n">
        <f aca="false">D18*E18</f>
        <v>10</v>
      </c>
      <c r="G18" s="2" t="s">
        <v>11</v>
      </c>
      <c r="H18" s="7" t="s">
        <v>19</v>
      </c>
    </row>
    <row r="19" customFormat="false" ht="26.85" hidden="false" customHeight="false" outlineLevel="0" collapsed="false">
      <c r="A19" s="2" t="s">
        <v>40</v>
      </c>
      <c r="B19" s="3" t="s">
        <v>55</v>
      </c>
      <c r="C19" s="3" t="s">
        <v>56</v>
      </c>
      <c r="D19" s="4" t="n">
        <v>4</v>
      </c>
      <c r="E19" s="5" t="n">
        <v>1.5</v>
      </c>
      <c r="F19" s="6" t="n">
        <f aca="false">D19*E19</f>
        <v>6</v>
      </c>
      <c r="G19" s="2" t="s">
        <v>11</v>
      </c>
      <c r="H19" s="7" t="s">
        <v>19</v>
      </c>
    </row>
    <row r="20" customFormat="false" ht="39.55" hidden="false" customHeight="false" outlineLevel="0" collapsed="false">
      <c r="A20" s="2" t="s">
        <v>57</v>
      </c>
      <c r="B20" s="3" t="s">
        <v>58</v>
      </c>
      <c r="C20" s="3" t="s">
        <v>59</v>
      </c>
      <c r="D20" s="4" t="n">
        <v>1</v>
      </c>
      <c r="E20" s="5" t="n">
        <v>25</v>
      </c>
      <c r="F20" s="6" t="n">
        <f aca="false">D20*E20</f>
        <v>25</v>
      </c>
      <c r="G20" s="8" t="s">
        <v>38</v>
      </c>
      <c r="H20" s="7" t="s">
        <v>19</v>
      </c>
    </row>
    <row r="21" customFormat="false" ht="26.85" hidden="false" customHeight="false" outlineLevel="0" collapsed="false">
      <c r="A21" s="2" t="s">
        <v>57</v>
      </c>
      <c r="B21" s="3" t="s">
        <v>60</v>
      </c>
      <c r="C21" s="3" t="s">
        <v>61</v>
      </c>
      <c r="D21" s="4" t="n">
        <v>4</v>
      </c>
      <c r="E21" s="5" t="n">
        <v>8</v>
      </c>
      <c r="F21" s="6" t="n">
        <f aca="false">D21*E21</f>
        <v>32</v>
      </c>
      <c r="G21" s="2" t="s">
        <v>11</v>
      </c>
      <c r="H21" s="7" t="s">
        <v>62</v>
      </c>
    </row>
    <row r="22" customFormat="false" ht="22.35" hidden="false" customHeight="false" outlineLevel="0" collapsed="false">
      <c r="A22" s="2" t="s">
        <v>57</v>
      </c>
      <c r="B22" s="3" t="s">
        <v>63</v>
      </c>
      <c r="C22" s="3" t="s">
        <v>64</v>
      </c>
      <c r="D22" s="4" t="n">
        <v>1</v>
      </c>
      <c r="E22" s="5" t="n">
        <v>105</v>
      </c>
      <c r="F22" s="6" t="n">
        <f aca="false">D22*E22</f>
        <v>105</v>
      </c>
      <c r="G22" s="2" t="s">
        <v>11</v>
      </c>
      <c r="H22" s="7" t="s">
        <v>65</v>
      </c>
    </row>
    <row r="23" customFormat="false" ht="26.85" hidden="false" customHeight="false" outlineLevel="0" collapsed="false">
      <c r="A23" s="2" t="s">
        <v>66</v>
      </c>
      <c r="B23" s="3" t="s">
        <v>67</v>
      </c>
      <c r="C23" s="3" t="s">
        <v>68</v>
      </c>
      <c r="D23" s="4" t="n">
        <v>1</v>
      </c>
      <c r="E23" s="5" t="n">
        <v>90</v>
      </c>
      <c r="F23" s="6" t="n">
        <f aca="false">D23*E23</f>
        <v>90</v>
      </c>
      <c r="G23" s="2" t="s">
        <v>11</v>
      </c>
      <c r="H23" s="7" t="s">
        <v>69</v>
      </c>
    </row>
    <row r="24" customFormat="false" ht="26.85" hidden="false" customHeight="false" outlineLevel="0" collapsed="false">
      <c r="A24" s="2" t="s">
        <v>66</v>
      </c>
      <c r="B24" s="3" t="s">
        <v>70</v>
      </c>
      <c r="C24" s="3" t="s">
        <v>71</v>
      </c>
      <c r="D24" s="4" t="n">
        <v>1</v>
      </c>
      <c r="E24" s="5" t="n">
        <v>20</v>
      </c>
      <c r="F24" s="6" t="n">
        <f aca="false">D24*E24</f>
        <v>20</v>
      </c>
      <c r="G24" s="2" t="s">
        <v>11</v>
      </c>
      <c r="H24" s="7" t="s">
        <v>19</v>
      </c>
    </row>
    <row r="25" customFormat="false" ht="26.85" hidden="false" customHeight="false" outlineLevel="0" collapsed="false">
      <c r="A25" s="2" t="s">
        <v>72</v>
      </c>
      <c r="B25" s="3" t="s">
        <v>73</v>
      </c>
      <c r="C25" s="3" t="s">
        <v>74</v>
      </c>
      <c r="D25" s="4" t="n">
        <v>12</v>
      </c>
      <c r="E25" s="5" t="n">
        <v>1</v>
      </c>
      <c r="F25" s="6" t="n">
        <f aca="false">D25*E25</f>
        <v>12</v>
      </c>
      <c r="G25" s="8" t="s">
        <v>38</v>
      </c>
      <c r="H25" s="7" t="s">
        <v>75</v>
      </c>
    </row>
    <row r="26" customFormat="false" ht="26.85" hidden="false" customHeight="false" outlineLevel="0" collapsed="false">
      <c r="A26" s="2" t="s">
        <v>72</v>
      </c>
      <c r="B26" s="3" t="s">
        <v>76</v>
      </c>
      <c r="C26" s="3" t="s">
        <v>77</v>
      </c>
      <c r="D26" s="4" t="n">
        <v>1</v>
      </c>
      <c r="E26" s="5" t="n">
        <v>20</v>
      </c>
      <c r="F26" s="6" t="n">
        <f aca="false">D26*E26</f>
        <v>20</v>
      </c>
      <c r="G26" s="2" t="s">
        <v>11</v>
      </c>
      <c r="H26" s="7" t="s">
        <v>19</v>
      </c>
    </row>
    <row r="27" customFormat="false" ht="15" hidden="false" customHeight="false" outlineLevel="0" collapsed="false">
      <c r="A27" s="2" t="s">
        <v>72</v>
      </c>
      <c r="B27" s="3" t="s">
        <v>78</v>
      </c>
      <c r="C27" s="3" t="s">
        <v>79</v>
      </c>
      <c r="D27" s="4" t="n">
        <v>1</v>
      </c>
      <c r="E27" s="5" t="n">
        <v>10</v>
      </c>
      <c r="F27" s="6" t="n">
        <f aca="false">D27*E27</f>
        <v>10</v>
      </c>
      <c r="G27" s="2" t="s">
        <v>11</v>
      </c>
      <c r="H27" s="7" t="s">
        <v>19</v>
      </c>
    </row>
    <row r="28" customFormat="false" ht="15" hidden="false" customHeight="false" outlineLevel="0" collapsed="false">
      <c r="A28" s="2" t="s">
        <v>72</v>
      </c>
      <c r="B28" s="3" t="s">
        <v>80</v>
      </c>
      <c r="C28" s="3" t="s">
        <v>81</v>
      </c>
      <c r="D28" s="4" t="n">
        <v>1</v>
      </c>
      <c r="E28" s="5" t="n">
        <v>15</v>
      </c>
      <c r="F28" s="6" t="n">
        <f aca="false">D28*E28</f>
        <v>15</v>
      </c>
      <c r="G28" s="2" t="s">
        <v>11</v>
      </c>
      <c r="H28" s="7" t="s">
        <v>19</v>
      </c>
    </row>
    <row r="30" customFormat="false" ht="15" hidden="false" customHeight="false" outlineLevel="0" collapsed="false">
      <c r="A30" s="9" t="s">
        <v>82</v>
      </c>
      <c r="B30" s="9"/>
      <c r="C30" s="9"/>
      <c r="D30" s="9"/>
      <c r="E30" s="9"/>
      <c r="F30" s="10" t="n">
        <f aca="false">SUM(F2:F28)</f>
        <v>1485</v>
      </c>
    </row>
    <row r="32" customFormat="false" ht="15" hidden="false" customHeight="false" outlineLevel="0" collapsed="false">
      <c r="A32" s="11" t="s">
        <v>83</v>
      </c>
    </row>
    <row r="33" customFormat="false" ht="15" hidden="false" customHeight="false" outlineLevel="0" collapsed="false">
      <c r="A33" s="12" t="s">
        <v>0</v>
      </c>
      <c r="F33" s="12" t="s">
        <v>84</v>
      </c>
    </row>
    <row r="34" customFormat="false" ht="15" hidden="false" customHeight="false" outlineLevel="0" collapsed="false">
      <c r="A34" s="13" t="s">
        <v>8</v>
      </c>
      <c r="F34" s="14" t="n">
        <f aca="false">SUMIFS($F$2:$F$28,$A$2:$A$28,A34)</f>
        <v>361</v>
      </c>
    </row>
    <row r="35" customFormat="false" ht="15" hidden="false" customHeight="false" outlineLevel="0" collapsed="false">
      <c r="A35" s="13" t="s">
        <v>26</v>
      </c>
      <c r="F35" s="14" t="n">
        <f aca="false">SUMIFS($F$2:$F$28,$A$2:$A$28,A35)</f>
        <v>62</v>
      </c>
    </row>
    <row r="36" customFormat="false" ht="15" hidden="false" customHeight="false" outlineLevel="0" collapsed="false">
      <c r="A36" s="13" t="s">
        <v>32</v>
      </c>
      <c r="F36" s="14" t="n">
        <f aca="false">SUMIFS($F$2:$F$28,$A$2:$A$28,A36)</f>
        <v>594</v>
      </c>
    </row>
    <row r="37" customFormat="false" ht="15" hidden="false" customHeight="false" outlineLevel="0" collapsed="false">
      <c r="A37" s="13" t="s">
        <v>40</v>
      </c>
      <c r="F37" s="14" t="n">
        <f aca="false">SUMIFS($F$2:$F$28,$A$2:$A$28,A37)</f>
        <v>139</v>
      </c>
    </row>
    <row r="38" customFormat="false" ht="15" hidden="false" customHeight="false" outlineLevel="0" collapsed="false">
      <c r="A38" s="13" t="s">
        <v>57</v>
      </c>
      <c r="F38" s="14" t="n">
        <f aca="false">SUMIFS($F$2:$F$28,$A$2:$A$28,A38)</f>
        <v>162</v>
      </c>
    </row>
    <row r="39" customFormat="false" ht="15" hidden="false" customHeight="false" outlineLevel="0" collapsed="false">
      <c r="A39" s="13" t="s">
        <v>66</v>
      </c>
      <c r="F39" s="14" t="n">
        <f aca="false">SUMIFS($F$2:$F$28,$A$2:$A$28,A39)</f>
        <v>110</v>
      </c>
    </row>
    <row r="40" customFormat="false" ht="15" hidden="false" customHeight="false" outlineLevel="0" collapsed="false">
      <c r="A40" s="13" t="s">
        <v>72</v>
      </c>
      <c r="F40" s="14" t="n">
        <f aca="false">SUMIFS($F$2:$F$28,$A$2:$A$28,A40)</f>
        <v>57</v>
      </c>
    </row>
    <row r="41" customFormat="false" ht="15" hidden="false" customHeight="false" outlineLevel="0" collapsed="false">
      <c r="A41" s="15" t="s">
        <v>85</v>
      </c>
      <c r="F41" s="16" t="n">
        <f aca="false">SUM(F34:F40)-F30</f>
        <v>0</v>
      </c>
    </row>
    <row r="43" customFormat="false" ht="15" hidden="false" customHeight="false" outlineLevel="0" collapsed="false">
      <c r="A43" s="17" t="s">
        <v>86</v>
      </c>
      <c r="B43" s="17"/>
      <c r="C43" s="17"/>
      <c r="D43" s="17"/>
      <c r="E43" s="17"/>
      <c r="F43" s="17"/>
      <c r="G43" s="17"/>
      <c r="H43" s="17"/>
    </row>
    <row r="44" customFormat="false" ht="15" hidden="false" customHeight="false" outlineLevel="0" collapsed="false">
      <c r="A44" s="18" t="s">
        <v>87</v>
      </c>
      <c r="B44" s="18"/>
      <c r="C44" s="18"/>
      <c r="D44" s="18"/>
      <c r="E44" s="18"/>
      <c r="F44" s="18"/>
      <c r="G44" s="18"/>
      <c r="H44" s="18"/>
    </row>
    <row r="45" customFormat="false" ht="15" hidden="false" customHeight="false" outlineLevel="0" collapsed="false">
      <c r="A45" s="18" t="s">
        <v>88</v>
      </c>
      <c r="B45" s="18"/>
      <c r="C45" s="18"/>
      <c r="D45" s="18"/>
      <c r="E45" s="18"/>
      <c r="F45" s="18"/>
      <c r="G45" s="18"/>
      <c r="H45" s="18"/>
    </row>
    <row r="46" customFormat="false" ht="15" hidden="false" customHeight="false" outlineLevel="0" collapsed="false">
      <c r="A46" s="18" t="s">
        <v>89</v>
      </c>
      <c r="B46" s="18"/>
      <c r="C46" s="18"/>
      <c r="D46" s="18"/>
      <c r="E46" s="18"/>
      <c r="F46" s="18"/>
      <c r="G46" s="18"/>
      <c r="H46" s="18"/>
    </row>
    <row r="47" customFormat="false" ht="15" hidden="false" customHeight="false" outlineLevel="0" collapsed="false">
      <c r="A47" s="18" t="s">
        <v>90</v>
      </c>
      <c r="B47" s="18"/>
      <c r="C47" s="18"/>
      <c r="D47" s="18"/>
      <c r="E47" s="18"/>
      <c r="F47" s="18"/>
      <c r="G47" s="18"/>
      <c r="H47" s="18"/>
    </row>
    <row r="48" customFormat="false" ht="15" hidden="false" customHeight="false" outlineLevel="0" collapsed="false">
      <c r="A48" s="18" t="s">
        <v>91</v>
      </c>
      <c r="B48" s="18"/>
      <c r="C48" s="18"/>
      <c r="D48" s="18"/>
      <c r="E48" s="18"/>
      <c r="F48" s="18"/>
      <c r="G48" s="18"/>
      <c r="H48" s="18"/>
    </row>
    <row r="49" customFormat="false" ht="15" hidden="false" customHeight="false" outlineLevel="0" collapsed="false">
      <c r="A49" s="18" t="s">
        <v>92</v>
      </c>
      <c r="B49" s="18"/>
      <c r="C49" s="18"/>
      <c r="D49" s="18"/>
      <c r="E49" s="18"/>
      <c r="F49" s="18"/>
      <c r="G49" s="18"/>
      <c r="H49" s="18"/>
    </row>
  </sheetData>
  <mergeCells count="8">
    <mergeCell ref="A30:E30"/>
    <mergeCell ref="A43:H43"/>
    <mergeCell ref="A44:H44"/>
    <mergeCell ref="A45:H45"/>
    <mergeCell ref="A46:H46"/>
    <mergeCell ref="A47:H47"/>
    <mergeCell ref="A48:H48"/>
    <mergeCell ref="A49:H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12" t="s">
        <v>93</v>
      </c>
      <c r="B1" s="12" t="s">
        <v>1</v>
      </c>
      <c r="C1" s="12" t="s">
        <v>94</v>
      </c>
    </row>
    <row r="2" customFormat="false" ht="26.85" hidden="false" customHeight="false" outlineLevel="0" collapsed="false">
      <c r="A2" s="19" t="s">
        <v>95</v>
      </c>
      <c r="B2" s="19" t="s">
        <v>96</v>
      </c>
      <c r="C2" s="19" t="s">
        <v>97</v>
      </c>
    </row>
    <row r="3" customFormat="false" ht="15" hidden="false" customHeight="false" outlineLevel="0" collapsed="false">
      <c r="A3" s="19" t="s">
        <v>95</v>
      </c>
      <c r="B3" s="19" t="s">
        <v>98</v>
      </c>
      <c r="C3" s="19" t="s">
        <v>99</v>
      </c>
    </row>
    <row r="4" customFormat="false" ht="15" hidden="false" customHeight="false" outlineLevel="0" collapsed="false">
      <c r="A4" s="19" t="s">
        <v>95</v>
      </c>
      <c r="B4" s="19" t="s">
        <v>100</v>
      </c>
      <c r="C4" s="19" t="s">
        <v>101</v>
      </c>
    </row>
    <row r="5" customFormat="false" ht="15" hidden="false" customHeight="false" outlineLevel="0" collapsed="false">
      <c r="A5" s="19" t="s">
        <v>95</v>
      </c>
      <c r="B5" s="19" t="s">
        <v>102</v>
      </c>
      <c r="C5" s="19" t="s">
        <v>103</v>
      </c>
    </row>
    <row r="6" customFormat="false" ht="15" hidden="false" customHeight="false" outlineLevel="0" collapsed="false">
      <c r="A6" s="19" t="s">
        <v>95</v>
      </c>
      <c r="B6" s="19" t="s">
        <v>104</v>
      </c>
      <c r="C6" s="19" t="s">
        <v>105</v>
      </c>
    </row>
    <row r="7" customFormat="false" ht="15" hidden="false" customHeight="false" outlineLevel="0" collapsed="false">
      <c r="A7" s="19" t="s">
        <v>106</v>
      </c>
      <c r="B7" s="19" t="s">
        <v>107</v>
      </c>
      <c r="C7" s="19" t="s">
        <v>108</v>
      </c>
    </row>
    <row r="8" customFormat="false" ht="15" hidden="false" customHeight="false" outlineLevel="0" collapsed="false">
      <c r="A8" s="19" t="s">
        <v>106</v>
      </c>
      <c r="B8" s="19" t="s">
        <v>109</v>
      </c>
      <c r="C8" s="19" t="s">
        <v>110</v>
      </c>
    </row>
    <row r="9" customFormat="false" ht="15" hidden="false" customHeight="false" outlineLevel="0" collapsed="false">
      <c r="A9" s="19" t="s">
        <v>38</v>
      </c>
      <c r="B9" s="19" t="s">
        <v>111</v>
      </c>
      <c r="C9" s="19" t="s">
        <v>112</v>
      </c>
    </row>
    <row r="10" customFormat="false" ht="15" hidden="false" customHeight="false" outlineLevel="0" collapsed="false">
      <c r="A10" s="19" t="s">
        <v>38</v>
      </c>
      <c r="B10" s="19" t="s">
        <v>113</v>
      </c>
      <c r="C10" s="19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2026-09-24T23:56:45Z</dcterms:created>
  <dc:creator>openpyxl</dc:creator>
  <dc:description/>
  <dc:language>en-US</dc:language>
  <cp:lastModifiedBy/>
  <dcterms:modified xsi:type="dcterms:W3CDTF">2026-09-24T23:56:45Z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