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 Lis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<sst xmlns="http://schemas.openxmlformats.org/spreadsheetml/2006/main" count="118" uniqueCount="77">
  <si>
    <t xml:space="preserve">Category</t>
  </si>
  <si>
    <t xml:space="preserve">Item</t>
  </si>
  <si>
    <t xml:space="preserve">Spec / Notes</t>
  </si>
  <si>
    <t xml:space="preserve">Qty</t>
  </si>
  <si>
    <t xml:space="preserve">Est. Unit Price ($)</t>
  </si>
  <si>
    <t xml:space="preserve">Line Total ($)</t>
  </si>
  <si>
    <t xml:space="preserve">Source / Assumption</t>
  </si>
  <si>
    <t xml:space="preserve">Compute &amp; AI</t>
  </si>
  <si>
    <t xml:space="preserve">Raspberry Pi 5 (8GB)</t>
  </si>
  <si>
    <t xml:space="preserve">Main compute / brain; runs high-level control + AI inference</t>
  </si>
  <si>
    <t xml:space="preserve">RS Components / retail listings, Jul 2026 — Pi 5 8GB prices are elevated ~2-3x launch price due to a 2026 DRAM/LPDDR4 memory shortage; watch for it to ease</t>
  </si>
  <si>
    <t xml:space="preserve">Google Coral USB Accelerator (Edge TPU)</t>
  </si>
  <si>
    <t xml:space="preserve">USB3 TPU coprocessor for on-device ML inference (4 TOPS, TFLite models)</t>
  </si>
  <si>
    <t xml:space="preserve">RS Components listings, 2026 — regional prices ranged ~$60-95 equiv.; official Coral store price used as baseline</t>
  </si>
  <si>
    <t xml:space="preserve">MicroSD card, 64GB A2/U3</t>
  </si>
  <si>
    <t xml:space="preserve">OS + model storage</t>
  </si>
  <si>
    <t xml:space="preserve">Typical retail estimate</t>
  </si>
  <si>
    <t xml:space="preserve">Pi Camera Module 3 (or USB webcam)</t>
  </si>
  <si>
    <t xml:space="preserve">Vision input for the AI movement/obstacle model</t>
  </si>
  <si>
    <t xml:space="preserve">Official Pi 5 Active Cooler</t>
  </si>
  <si>
    <t xml:space="preserve">Keeps Pi 5 thermal-throttle-free while running inference continuously</t>
  </si>
  <si>
    <t xml:space="preserve">USB-C PD power supply, 27W (official Pi 5 PSU)</t>
  </si>
  <si>
    <t xml:space="preserve">Stable 5V/5A supply for the Pi itself (kept separate from servo rail)</t>
  </si>
  <si>
    <t xml:space="preserve">Actuation</t>
  </si>
  <si>
    <t xml:space="preserve">Digital servo, 20kg-cm metal gear (e.g. DS3218MG)</t>
  </si>
  <si>
    <t xml:space="preserve">3 DOF/leg x 6 legs = 18 servos; coxa/femur/tibia joints</t>
  </si>
  <si>
    <t xml:space="preserve">eBay/RC retailer listings, 2026 — DS3218MG typically $15-20/unit</t>
  </si>
  <si>
    <t xml:space="preserve">16-channel PWM/servo driver (PCA9685)</t>
  </si>
  <si>
    <t xml:space="preserve">2 boards give 32 channels for 18 servos + headroom; talks to Pi over I2C</t>
  </si>
  <si>
    <t xml:space="preserve">Aluminum servo horns/brackets</t>
  </si>
  <si>
    <t xml:space="preserve">Stronger than stock plastic horns under repeated load</t>
  </si>
  <si>
    <t xml:space="preserve">Power</t>
  </si>
  <si>
    <t xml:space="preserve">3S LiPo battery, 5000mAh</t>
  </si>
  <si>
    <t xml:space="preserve">Powers servo rail + Pi via regulators; sized for 18 servos under load</t>
  </si>
  <si>
    <t xml:space="preserve">LiPo balance charger</t>
  </si>
  <si>
    <t xml:space="preserve">Safe charging/balancing for the 3S pack</t>
  </si>
  <si>
    <t xml:space="preserve">High-current buck converter/UBEC, 6V ~20A</t>
  </si>
  <si>
    <t xml:space="preserve">Dedicated regulated rail for the 18 servos</t>
  </si>
  <si>
    <t xml:space="preserve">Buck converter/UBEC, 5V 5A</t>
  </si>
  <si>
    <t xml:space="preserve">Separate clean 5V rail for the Pi + TPU (isolated from servo noise)</t>
  </si>
  <si>
    <t xml:space="preserve">Power switch, XT60 connectors, main wiring</t>
  </si>
  <si>
    <t xml:space="preserve">Master power switch + battery connectors</t>
  </si>
  <si>
    <t xml:space="preserve">Low-ESR capacitors, 2200uF (servo rail smoothing)</t>
  </si>
  <si>
    <t xml:space="preserve">Damps voltage sag when multiple servos move at once</t>
  </si>
  <si>
    <t xml:space="preserve">Sensors</t>
  </si>
  <si>
    <t xml:space="preserve">IMU (e.g. BNO055 9-DOF)</t>
  </si>
  <si>
    <t xml:space="preserve">Orientation/tilt feedback for balance and gait correction</t>
  </si>
  <si>
    <t xml:space="preserve">Time-of-flight distance sensor (e.g. VL53L0X)</t>
  </si>
  <si>
    <t xml:space="preserve">Per-leg/front cliff &amp; step detection; catches hazards a horizontal-plane LIDAR can't see</t>
  </si>
  <si>
    <t xml:space="preserve">Typical retail estimate — qty raised from 2 to 4 for front + side coverage; revisit once chassis/leg layout is finalized</t>
  </si>
  <si>
    <t xml:space="preserve">2D LIDAR (RPLIDAR A1)</t>
  </si>
  <si>
    <t xml:space="preserve">360-degree room-scale mapping/SLAM to complement the camera+TPU vision model; UART to Pi 5</t>
  </si>
  <si>
    <t xml:space="preserve">Waveshare/Slamtec listings, 2026 (~$100-110, 248g, 12m range, 5.5Hz scan) — placeholder until you confirm SLAM/navigation is in scope vs. reactive-only avoidance</t>
  </si>
  <si>
    <t xml:space="preserve">Chassis &amp; Mechanical</t>
  </si>
  <si>
    <t xml:space="preserve">Hexapod chassis kit or fabricated frame, 12-20in</t>
  </si>
  <si>
    <t xml:space="preserve">Body + 6 leg sets sized for standard servos</t>
  </si>
  <si>
    <t xml:space="preserve">Placeholder — replace with actual cost once you decide kit vs. custom-fabricated frame</t>
  </si>
  <si>
    <t xml:space="preserve">Leg linkage hardware (bearings, standoffs, screws)</t>
  </si>
  <si>
    <t xml:space="preserve">Smooths joint motion, reduces slop</t>
  </si>
  <si>
    <t xml:space="preserve">Wiring &amp; Misc</t>
  </si>
  <si>
    <t xml:space="preserve">Servo extension cables</t>
  </si>
  <si>
    <t xml:space="preserve">Reach from legs to driver boards</t>
  </si>
  <si>
    <t xml:space="preserve">Connectors, heat shrink, 22-26AWG silicone wire</t>
  </si>
  <si>
    <t xml:space="preserve">General wiring harness</t>
  </si>
  <si>
    <t xml:space="preserve">Perfboard / small custom PCB</t>
  </si>
  <si>
    <t xml:space="preserve">Clean power + signal distribution hub</t>
  </si>
  <si>
    <t xml:space="preserve">Mounting standoffs/spacers</t>
  </si>
  <si>
    <t xml:space="preserve">Mounts Pi, driver boards, battery to chassis</t>
  </si>
  <si>
    <t xml:space="preserve">GRAND TOTAL (estimate)</t>
  </si>
  <si>
    <t xml:space="preserve">Subtotal by Category</t>
  </si>
  <si>
    <t xml:space="preserve">Notes / assumptions:</t>
  </si>
  <si>
    <t xml:space="preserve">- 18 servos assumes a standard 3-DOF-per-leg hexapod (coxa, femur, tibia x 6 legs).</t>
  </si>
  <si>
    <t xml:space="preserve">- Blue cells are editable inputs (Qty, Est. Unit Price) — update as you finalize specific parts/vendors.</t>
  </si>
  <si>
    <t xml:space="preserve">- Raspberry Pi 5 and Coral pricing reflect a 2026 memory-market price spike noted in current listings; recheck before ordering.</t>
  </si>
  <si>
    <t xml:space="preserve">- Items marked 'Typical retail estimate' were not pulled from a live listing — treat as a planning placeholder, not a quote.</t>
  </si>
  <si>
    <t xml:space="preserve">- Chassis cost is a placeholder: given your fabrication background, a custom-machined/printed frame may cost less in parts but more in time.</t>
  </si>
  <si>
    <t xml:space="preserve">- LIDAR + exact ToF sensor count/placement are provisional — finalize once leg/chassis layout is designed and you know actual mount points and fields of view.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</si>
</sst>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u val="single"/>
      <sz val="11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6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46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32.8" hidden="false" customHeight="false" outlineLevel="0" collapsed="false">
      <c r="A2" s="2" t="s">
        <v>7</v>
      </c>
      <c r="B2" s="2" t="s">
        <v>8</v>
      </c>
      <c r="C2" s="3" t="s">
        <v>9</v>
      </c>
      <c r="D2" s="4" t="n">
        <v>1</v>
      </c>
      <c r="E2" s="5" t="n">
        <v>175</v>
      </c>
      <c r="F2" s="6" t="n">
        <f aca="false">D2*E2</f>
        <v>175</v>
      </c>
      <c r="G2" s="7" t="s">
        <v>10</v>
      </c>
    </row>
    <row r="3" customFormat="false" ht="26.85" hidden="false" customHeight="false" outlineLevel="0" collapsed="false">
      <c r="A3" s="2" t="s">
        <v>7</v>
      </c>
      <c r="B3" s="2" t="s">
        <v>11</v>
      </c>
      <c r="C3" s="3" t="s">
        <v>12</v>
      </c>
      <c r="D3" s="4" t="n">
        <v>1</v>
      </c>
      <c r="E3" s="5" t="n">
        <v>65</v>
      </c>
      <c r="F3" s="6" t="n">
        <f aca="false">D3*E3</f>
        <v>65</v>
      </c>
      <c r="G3" s="7" t="s">
        <v>13</v>
      </c>
    </row>
    <row r="4" customFormat="false" ht="15" hidden="false" customHeight="false" outlineLevel="0" collapsed="false">
      <c r="A4" s="2" t="s">
        <v>7</v>
      </c>
      <c r="B4" s="2" t="s">
        <v>14</v>
      </c>
      <c r="C4" s="3" t="s">
        <v>15</v>
      </c>
      <c r="D4" s="4" t="n">
        <v>1</v>
      </c>
      <c r="E4" s="5" t="n">
        <v>12</v>
      </c>
      <c r="F4" s="6" t="n">
        <f aca="false">D4*E4</f>
        <v>12</v>
      </c>
      <c r="G4" s="7" t="s">
        <v>16</v>
      </c>
    </row>
    <row r="5" customFormat="false" ht="15" hidden="false" customHeight="false" outlineLevel="0" collapsed="false">
      <c r="A5" s="2" t="s">
        <v>7</v>
      </c>
      <c r="B5" s="2" t="s">
        <v>17</v>
      </c>
      <c r="C5" s="3" t="s">
        <v>18</v>
      </c>
      <c r="D5" s="4" t="n">
        <v>1</v>
      </c>
      <c r="E5" s="5" t="n">
        <v>25</v>
      </c>
      <c r="F5" s="6" t="n">
        <f aca="false">D5*E5</f>
        <v>25</v>
      </c>
      <c r="G5" s="7" t="s">
        <v>16</v>
      </c>
    </row>
    <row r="6" customFormat="false" ht="26.85" hidden="false" customHeight="false" outlineLevel="0" collapsed="false">
      <c r="A6" s="2" t="s">
        <v>7</v>
      </c>
      <c r="B6" s="2" t="s">
        <v>19</v>
      </c>
      <c r="C6" s="3" t="s">
        <v>20</v>
      </c>
      <c r="D6" s="4" t="n">
        <v>1</v>
      </c>
      <c r="E6" s="5" t="n">
        <v>5</v>
      </c>
      <c r="F6" s="6" t="n">
        <f aca="false">D6*E6</f>
        <v>5</v>
      </c>
      <c r="G6" s="7" t="s">
        <v>16</v>
      </c>
    </row>
    <row r="7" customFormat="false" ht="26.85" hidden="false" customHeight="false" outlineLevel="0" collapsed="false">
      <c r="A7" s="2" t="s">
        <v>7</v>
      </c>
      <c r="B7" s="2" t="s">
        <v>21</v>
      </c>
      <c r="C7" s="3" t="s">
        <v>22</v>
      </c>
      <c r="D7" s="4" t="n">
        <v>1</v>
      </c>
      <c r="E7" s="5" t="n">
        <v>12</v>
      </c>
      <c r="F7" s="6" t="n">
        <f aca="false">D7*E7</f>
        <v>12</v>
      </c>
      <c r="G7" s="7" t="s">
        <v>16</v>
      </c>
    </row>
    <row r="8" customFormat="false" ht="26.85" hidden="false" customHeight="false" outlineLevel="0" collapsed="false">
      <c r="A8" s="2" t="s">
        <v>23</v>
      </c>
      <c r="B8" s="2" t="s">
        <v>24</v>
      </c>
      <c r="C8" s="3" t="s">
        <v>25</v>
      </c>
      <c r="D8" s="4" t="n">
        <v>18</v>
      </c>
      <c r="E8" s="5" t="n">
        <v>18</v>
      </c>
      <c r="F8" s="6" t="n">
        <f aca="false">D8*E8</f>
        <v>324</v>
      </c>
      <c r="G8" s="7" t="s">
        <v>26</v>
      </c>
    </row>
    <row r="9" customFormat="false" ht="26.85" hidden="false" customHeight="false" outlineLevel="0" collapsed="false">
      <c r="A9" s="2" t="s">
        <v>23</v>
      </c>
      <c r="B9" s="2" t="s">
        <v>27</v>
      </c>
      <c r="C9" s="3" t="s">
        <v>28</v>
      </c>
      <c r="D9" s="4" t="n">
        <v>2</v>
      </c>
      <c r="E9" s="5" t="n">
        <v>8</v>
      </c>
      <c r="F9" s="6" t="n">
        <f aca="false">D9*E9</f>
        <v>16</v>
      </c>
      <c r="G9" s="7" t="s">
        <v>16</v>
      </c>
    </row>
    <row r="10" customFormat="false" ht="26.85" hidden="false" customHeight="false" outlineLevel="0" collapsed="false">
      <c r="A10" s="2" t="s">
        <v>23</v>
      </c>
      <c r="B10" s="2" t="s">
        <v>29</v>
      </c>
      <c r="C10" s="3" t="s">
        <v>30</v>
      </c>
      <c r="D10" s="4" t="n">
        <v>18</v>
      </c>
      <c r="E10" s="5" t="n">
        <v>3</v>
      </c>
      <c r="F10" s="6" t="n">
        <f aca="false">D10*E10</f>
        <v>54</v>
      </c>
      <c r="G10" s="7" t="s">
        <v>16</v>
      </c>
    </row>
    <row r="11" customFormat="false" ht="26.85" hidden="false" customHeight="false" outlineLevel="0" collapsed="false">
      <c r="A11" s="2" t="s">
        <v>31</v>
      </c>
      <c r="B11" s="2" t="s">
        <v>32</v>
      </c>
      <c r="C11" s="3" t="s">
        <v>33</v>
      </c>
      <c r="D11" s="4" t="n">
        <v>1</v>
      </c>
      <c r="E11" s="5" t="n">
        <v>35</v>
      </c>
      <c r="F11" s="6" t="n">
        <f aca="false">D11*E11</f>
        <v>35</v>
      </c>
      <c r="G11" s="7" t="s">
        <v>16</v>
      </c>
    </row>
    <row r="12" customFormat="false" ht="15" hidden="false" customHeight="false" outlineLevel="0" collapsed="false">
      <c r="A12" s="2" t="s">
        <v>31</v>
      </c>
      <c r="B12" s="2" t="s">
        <v>34</v>
      </c>
      <c r="C12" s="3" t="s">
        <v>35</v>
      </c>
      <c r="D12" s="4" t="n">
        <v>1</v>
      </c>
      <c r="E12" s="5" t="n">
        <v>25</v>
      </c>
      <c r="F12" s="6" t="n">
        <f aca="false">D12*E12</f>
        <v>25</v>
      </c>
      <c r="G12" s="7" t="s">
        <v>16</v>
      </c>
    </row>
    <row r="13" customFormat="false" ht="15" hidden="false" customHeight="false" outlineLevel="0" collapsed="false">
      <c r="A13" s="2" t="s">
        <v>31</v>
      </c>
      <c r="B13" s="2" t="s">
        <v>36</v>
      </c>
      <c r="C13" s="3" t="s">
        <v>37</v>
      </c>
      <c r="D13" s="4" t="n">
        <v>1</v>
      </c>
      <c r="E13" s="5" t="n">
        <v>15</v>
      </c>
      <c r="F13" s="6" t="n">
        <f aca="false">D13*E13</f>
        <v>15</v>
      </c>
      <c r="G13" s="7" t="s">
        <v>16</v>
      </c>
    </row>
    <row r="14" customFormat="false" ht="26.85" hidden="false" customHeight="false" outlineLevel="0" collapsed="false">
      <c r="A14" s="2" t="s">
        <v>31</v>
      </c>
      <c r="B14" s="2" t="s">
        <v>38</v>
      </c>
      <c r="C14" s="3" t="s">
        <v>39</v>
      </c>
      <c r="D14" s="4" t="n">
        <v>1</v>
      </c>
      <c r="E14" s="5" t="n">
        <v>10</v>
      </c>
      <c r="F14" s="6" t="n">
        <f aca="false">D14*E14</f>
        <v>10</v>
      </c>
      <c r="G14" s="7" t="s">
        <v>16</v>
      </c>
    </row>
    <row r="15" customFormat="false" ht="15" hidden="false" customHeight="false" outlineLevel="0" collapsed="false">
      <c r="A15" s="2" t="s">
        <v>31</v>
      </c>
      <c r="B15" s="2" t="s">
        <v>40</v>
      </c>
      <c r="C15" s="3" t="s">
        <v>41</v>
      </c>
      <c r="D15" s="4" t="n">
        <v>1</v>
      </c>
      <c r="E15" s="5" t="n">
        <v>10</v>
      </c>
      <c r="F15" s="6" t="n">
        <f aca="false">D15*E15</f>
        <v>10</v>
      </c>
      <c r="G15" s="7" t="s">
        <v>16</v>
      </c>
    </row>
    <row r="16" customFormat="false" ht="26.85" hidden="false" customHeight="false" outlineLevel="0" collapsed="false">
      <c r="A16" s="2" t="s">
        <v>31</v>
      </c>
      <c r="B16" s="2" t="s">
        <v>42</v>
      </c>
      <c r="C16" s="3" t="s">
        <v>43</v>
      </c>
      <c r="D16" s="4" t="n">
        <v>4</v>
      </c>
      <c r="E16" s="5" t="n">
        <v>1.5</v>
      </c>
      <c r="F16" s="6" t="n">
        <f aca="false">D16*E16</f>
        <v>6</v>
      </c>
      <c r="G16" s="7" t="s">
        <v>16</v>
      </c>
    </row>
    <row r="17" customFormat="false" ht="26.85" hidden="false" customHeight="false" outlineLevel="0" collapsed="false">
      <c r="A17" s="2" t="s">
        <v>44</v>
      </c>
      <c r="B17" s="2" t="s">
        <v>45</v>
      </c>
      <c r="C17" s="3" t="s">
        <v>46</v>
      </c>
      <c r="D17" s="4" t="n">
        <v>1</v>
      </c>
      <c r="E17" s="5" t="n">
        <v>25</v>
      </c>
      <c r="F17" s="6" t="n">
        <f aca="false">D17*E17</f>
        <v>25</v>
      </c>
      <c r="G17" s="7" t="s">
        <v>16</v>
      </c>
    </row>
    <row r="18" customFormat="false" ht="26.85" hidden="false" customHeight="false" outlineLevel="0" collapsed="false">
      <c r="A18" s="2" t="s">
        <v>44</v>
      </c>
      <c r="B18" s="2" t="s">
        <v>47</v>
      </c>
      <c r="C18" s="3" t="s">
        <v>48</v>
      </c>
      <c r="D18" s="4" t="n">
        <v>4</v>
      </c>
      <c r="E18" s="5" t="n">
        <v>8</v>
      </c>
      <c r="F18" s="6" t="n">
        <f aca="false">D18*E18</f>
        <v>32</v>
      </c>
      <c r="G18" s="7" t="s">
        <v>49</v>
      </c>
    </row>
    <row r="19" customFormat="false" ht="39.55" hidden="false" customHeight="false" outlineLevel="0" collapsed="false">
      <c r="A19" s="2" t="s">
        <v>44</v>
      </c>
      <c r="B19" s="2" t="s">
        <v>50</v>
      </c>
      <c r="C19" s="3" t="s">
        <v>51</v>
      </c>
      <c r="D19" s="4" t="n">
        <v>1</v>
      </c>
      <c r="E19" s="5" t="n">
        <v>105</v>
      </c>
      <c r="F19" s="6" t="n">
        <f aca="false">D19*E19</f>
        <v>105</v>
      </c>
      <c r="G19" s="7" t="s">
        <v>52</v>
      </c>
    </row>
    <row r="20" customFormat="false" ht="22.35" hidden="false" customHeight="false" outlineLevel="0" collapsed="false">
      <c r="A20" s="2" t="s">
        <v>53</v>
      </c>
      <c r="B20" s="2" t="s">
        <v>54</v>
      </c>
      <c r="C20" s="3" t="s">
        <v>55</v>
      </c>
      <c r="D20" s="4" t="n">
        <v>1</v>
      </c>
      <c r="E20" s="5" t="n">
        <v>90</v>
      </c>
      <c r="F20" s="6" t="n">
        <f aca="false">D20*E20</f>
        <v>90</v>
      </c>
      <c r="G20" s="7" t="s">
        <v>56</v>
      </c>
    </row>
    <row r="21" customFormat="false" ht="15" hidden="false" customHeight="false" outlineLevel="0" collapsed="false">
      <c r="A21" s="2" t="s">
        <v>53</v>
      </c>
      <c r="B21" s="2" t="s">
        <v>57</v>
      </c>
      <c r="C21" s="3" t="s">
        <v>58</v>
      </c>
      <c r="D21" s="4" t="n">
        <v>1</v>
      </c>
      <c r="E21" s="5" t="n">
        <v>20</v>
      </c>
      <c r="F21" s="6" t="n">
        <f aca="false">D21*E21</f>
        <v>20</v>
      </c>
      <c r="G21" s="7" t="s">
        <v>16</v>
      </c>
    </row>
    <row r="22" customFormat="false" ht="15" hidden="false" customHeight="false" outlineLevel="0" collapsed="false">
      <c r="A22" s="2" t="s">
        <v>59</v>
      </c>
      <c r="B22" s="2" t="s">
        <v>60</v>
      </c>
      <c r="C22" s="3" t="s">
        <v>61</v>
      </c>
      <c r="D22" s="4" t="n">
        <v>18</v>
      </c>
      <c r="E22" s="5" t="n">
        <v>1.5</v>
      </c>
      <c r="F22" s="6" t="n">
        <f aca="false">D22*E22</f>
        <v>27</v>
      </c>
      <c r="G22" s="7" t="s">
        <v>16</v>
      </c>
    </row>
    <row r="23" customFormat="false" ht="15" hidden="false" customHeight="false" outlineLevel="0" collapsed="false">
      <c r="A23" s="2" t="s">
        <v>59</v>
      </c>
      <c r="B23" s="2" t="s">
        <v>62</v>
      </c>
      <c r="C23" s="3" t="s">
        <v>63</v>
      </c>
      <c r="D23" s="4" t="n">
        <v>1</v>
      </c>
      <c r="E23" s="5" t="n">
        <v>20</v>
      </c>
      <c r="F23" s="6" t="n">
        <f aca="false">D23*E23</f>
        <v>20</v>
      </c>
      <c r="G23" s="7" t="s">
        <v>16</v>
      </c>
    </row>
    <row r="24" customFormat="false" ht="15" hidden="false" customHeight="false" outlineLevel="0" collapsed="false">
      <c r="A24" s="2" t="s">
        <v>59</v>
      </c>
      <c r="B24" s="2" t="s">
        <v>64</v>
      </c>
      <c r="C24" s="3" t="s">
        <v>65</v>
      </c>
      <c r="D24" s="4" t="n">
        <v>1</v>
      </c>
      <c r="E24" s="5" t="n">
        <v>10</v>
      </c>
      <c r="F24" s="6" t="n">
        <f aca="false">D24*E24</f>
        <v>10</v>
      </c>
      <c r="G24" s="7" t="s">
        <v>16</v>
      </c>
    </row>
    <row r="25" customFormat="false" ht="15" hidden="false" customHeight="false" outlineLevel="0" collapsed="false">
      <c r="A25" s="2" t="s">
        <v>59</v>
      </c>
      <c r="B25" s="2" t="s">
        <v>66</v>
      </c>
      <c r="C25" s="3" t="s">
        <v>67</v>
      </c>
      <c r="D25" s="4" t="n">
        <v>1</v>
      </c>
      <c r="E25" s="5" t="n">
        <v>15</v>
      </c>
      <c r="F25" s="6" t="n">
        <f aca="false">D25*E25</f>
        <v>15</v>
      </c>
      <c r="G25" s="7" t="s">
        <v>16</v>
      </c>
    </row>
    <row r="27" customFormat="false" ht="15" hidden="false" customHeight="false" outlineLevel="0" collapsed="false">
      <c r="A27" s="8" t="s">
        <v>68</v>
      </c>
      <c r="B27" s="8"/>
      <c r="C27" s="8"/>
      <c r="D27" s="8"/>
      <c r="E27" s="8"/>
      <c r="F27" s="9" t="n">
        <f aca="false">SUM(F2:F25)</f>
        <v>1133</v>
      </c>
      <c r="G27" s="10"/>
    </row>
    <row r="29" customFormat="false" ht="15" hidden="false" customHeight="false" outlineLevel="0" collapsed="false">
      <c r="A29" s="11" t="s">
        <v>69</v>
      </c>
    </row>
    <row r="30" customFormat="false" ht="15" hidden="false" customHeight="false" outlineLevel="0" collapsed="false">
      <c r="A30" s="12" t="s">
        <v>7</v>
      </c>
      <c r="B30" s="13" t="n">
        <f aca="false">SUMIFS($F$2:$F$25,$A$2:$A$25,A30)</f>
        <v>294</v>
      </c>
    </row>
    <row r="31" customFormat="false" ht="15" hidden="false" customHeight="false" outlineLevel="0" collapsed="false">
      <c r="A31" s="12" t="s">
        <v>23</v>
      </c>
      <c r="B31" s="13" t="n">
        <f aca="false">SUMIFS($F$2:$F$25,$A$2:$A$25,A31)</f>
        <v>394</v>
      </c>
    </row>
    <row r="32" customFormat="false" ht="15" hidden="false" customHeight="false" outlineLevel="0" collapsed="false">
      <c r="A32" s="12" t="s">
        <v>31</v>
      </c>
      <c r="B32" s="13" t="n">
        <f aca="false">SUMIFS($F$2:$F$25,$A$2:$A$25,A32)</f>
        <v>101</v>
      </c>
    </row>
    <row r="33" customFormat="false" ht="15" hidden="false" customHeight="false" outlineLevel="0" collapsed="false">
      <c r="A33" s="12" t="s">
        <v>44</v>
      </c>
      <c r="B33" s="13" t="n">
        <f aca="false">SUMIFS($F$2:$F$25,$A$2:$A$25,A33)</f>
        <v>162</v>
      </c>
    </row>
    <row r="34" customFormat="false" ht="15" hidden="false" customHeight="false" outlineLevel="0" collapsed="false">
      <c r="A34" s="12" t="s">
        <v>53</v>
      </c>
      <c r="B34" s="13" t="n">
        <f aca="false">SUMIFS($F$2:$F$25,$A$2:$A$25,A34)</f>
        <v>110</v>
      </c>
    </row>
    <row r="35" customFormat="false" ht="15" hidden="false" customHeight="false" outlineLevel="0" collapsed="false">
      <c r="A35" s="12" t="s">
        <v>59</v>
      </c>
      <c r="B35" s="13" t="n">
        <f aca="false">SUMIFS($F$2:$F$25,$A$2:$A$25,A35)</f>
        <v>72</v>
      </c>
    </row>
    <row r="38" customFormat="false" ht="15" hidden="false" customHeight="false" outlineLevel="0" collapsed="false">
      <c r="A38" s="14" t="s">
        <v>70</v>
      </c>
      <c r="B38" s="14"/>
      <c r="C38" s="14"/>
      <c r="D38" s="14"/>
      <c r="E38" s="14"/>
      <c r="F38" s="14"/>
      <c r="G38" s="14"/>
    </row>
    <row r="39" customFormat="false" ht="15" hidden="false" customHeight="false" outlineLevel="0" collapsed="false">
      <c r="A39" s="14" t="s">
        <v>71</v>
      </c>
      <c r="B39" s="14"/>
      <c r="C39" s="14"/>
      <c r="D39" s="14"/>
      <c r="E39" s="14"/>
      <c r="F39" s="14"/>
      <c r="G39" s="14"/>
    </row>
    <row r="40" customFormat="false" ht="15" hidden="false" customHeight="false" outlineLevel="0" collapsed="false">
      <c r="A40" s="14" t="s">
        <v>72</v>
      </c>
      <c r="B40" s="14"/>
      <c r="C40" s="14"/>
      <c r="D40" s="14"/>
      <c r="E40" s="14"/>
      <c r="F40" s="14"/>
      <c r="G40" s="14"/>
    </row>
    <row r="41" customFormat="false" ht="15" hidden="false" customHeight="false" outlineLevel="0" collapsed="false">
      <c r="A41" s="14" t="s">
        <v>73</v>
      </c>
      <c r="B41" s="14"/>
      <c r="C41" s="14"/>
      <c r="D41" s="14"/>
      <c r="E41" s="14"/>
      <c r="F41" s="14"/>
      <c r="G41" s="14"/>
    </row>
    <row r="42" customFormat="false" ht="15" hidden="false" customHeight="false" outlineLevel="0" collapsed="false">
      <c r="A42" s="14" t="s">
        <v>74</v>
      </c>
      <c r="B42" s="14"/>
      <c r="C42" s="14"/>
      <c r="D42" s="14"/>
      <c r="E42" s="14"/>
      <c r="F42" s="14"/>
      <c r="G42" s="14"/>
    </row>
    <row r="43" customFormat="false" ht="15" hidden="false" customHeight="false" outlineLevel="0" collapsed="false">
      <c r="A43" s="14" t="s">
        <v>75</v>
      </c>
      <c r="B43" s="14"/>
      <c r="C43" s="14"/>
      <c r="D43" s="14"/>
      <c r="E43" s="14"/>
      <c r="F43" s="14"/>
      <c r="G43" s="14"/>
    </row>
    <row r="44" customFormat="false" ht="15" hidden="false" customHeight="false" outlineLevel="0" collapsed="false">
      <c r="A44" s="14" t="s">
        <v>76</v>
      </c>
      <c r="B44" s="14"/>
      <c r="C44" s="14"/>
      <c r="D44" s="14"/>
      <c r="E44" s="14"/>
      <c r="F44" s="14"/>
      <c r="G44" s="14"/>
    </row>
  </sheetData>
  <mergeCells count="8">
    <mergeCell ref="A27:E27"/>
    <mergeCell ref="A38:G38"/>
    <mergeCell ref="A39:G39"/>
    <mergeCell ref="A40:G40"/>
    <mergeCell ref="A41:G41"/>
    <mergeCell ref="A42:G42"/>
    <mergeCell ref="A43:G43"/>
    <mergeCell ref="A44:G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2026-09-17T19:03:48Z</dcterms:created>
  <dc:creator>openpyxl</dc:creator>
  <dc:description/>
  <dc:language>en-US</dc:language>
  <cp:lastModifiedBy/>
  <dcterms:modified xsi:type="dcterms:W3CDTF">2026-09-17T19:03:48Z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